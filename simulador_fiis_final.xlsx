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K31\Desktop\"/>
    </mc:Choice>
  </mc:AlternateContent>
  <xr:revisionPtr revIDLastSave="0" documentId="13_ncr:1_{C38A4629-B8BA-4543-821D-4F2EBE5E2ED3}" xr6:coauthVersionLast="47" xr6:coauthVersionMax="47" xr10:uidLastSave="{00000000-0000-0000-0000-000000000000}"/>
  <bookViews>
    <workbookView showSheetTabs="0" xWindow="-120" yWindow="-120" windowWidth="29040" windowHeight="15720" xr2:uid="{00000000-000D-0000-FFFF-FFFF00000000}"/>
  </bookViews>
  <sheets>
    <sheet name="Simulador" sheetId="1" r:id="rId1"/>
    <sheet name="Configurações" sheetId="2" r:id="rId2"/>
    <sheet name="Apoio" sheetId="3" r:id="rId3"/>
  </sheets>
  <definedNames>
    <definedName name="aporte">Simulador!$C$6</definedName>
    <definedName name="dividendos">Simulador!$C$15</definedName>
    <definedName name="dividendos_sugestao">Simulador!$D$15</definedName>
    <definedName name="lista_perfis">Apoio!$G$7:$G$9</definedName>
    <definedName name="lista_tipos">Apoio!$K$7:$K$12</definedName>
    <definedName name="meta_renda">Configurações!$C$9</definedName>
    <definedName name="patrimonio">Simulador!$C$14</definedName>
    <definedName name="patrimonio_meta">Simulador!$C$39</definedName>
    <definedName name="patrimonio_sugestao">Simulador!$D$14</definedName>
    <definedName name="pct_aporte">Configurações!$C$8</definedName>
    <definedName name="perfil">Simulador!$C$9</definedName>
    <definedName name="prazo_anos">Simulador!$C$7</definedName>
    <definedName name="salario">Configurações!$C$6</definedName>
    <definedName name="sugestao_aporte">Configurações!$C$10</definedName>
    <definedName name="tabela_evolucao">Apoio!$M$7:$Q$36</definedName>
    <definedName name="tabela_perfis">Apoio!$B$7:$E$24</definedName>
    <definedName name="taxa_mensal">Configurações!$C$7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3" i="1" l="1"/>
  <c r="D24" i="3"/>
  <c r="C24" i="3"/>
  <c r="B24" i="3" s="1"/>
  <c r="D23" i="3"/>
  <c r="C23" i="3"/>
  <c r="B23" i="3" s="1"/>
  <c r="D22" i="3"/>
  <c r="C22" i="3"/>
  <c r="B22" i="3" s="1"/>
  <c r="D21" i="3"/>
  <c r="C21" i="3"/>
  <c r="B21" i="3" s="1"/>
  <c r="D20" i="3"/>
  <c r="C20" i="3"/>
  <c r="B20" i="3" s="1"/>
  <c r="D19" i="3"/>
  <c r="C19" i="3"/>
  <c r="B19" i="3" s="1"/>
  <c r="D18" i="3"/>
  <c r="C18" i="3"/>
  <c r="B18" i="3" s="1"/>
  <c r="D17" i="3"/>
  <c r="C17" i="3"/>
  <c r="B17" i="3" s="1"/>
  <c r="D16" i="3"/>
  <c r="C16" i="3"/>
  <c r="B16" i="3" s="1"/>
  <c r="D15" i="3"/>
  <c r="C15" i="3"/>
  <c r="B15" i="3" s="1"/>
  <c r="D14" i="3"/>
  <c r="C14" i="3"/>
  <c r="B14" i="3" s="1"/>
  <c r="D13" i="3"/>
  <c r="C13" i="3"/>
  <c r="B13" i="3" s="1"/>
  <c r="D12" i="3"/>
  <c r="C12" i="3"/>
  <c r="B12" i="3" s="1"/>
  <c r="D11" i="3"/>
  <c r="C11" i="3"/>
  <c r="B11" i="3" s="1"/>
  <c r="D10" i="3"/>
  <c r="C10" i="3"/>
  <c r="B10" i="3" s="1"/>
  <c r="H9" i="3"/>
  <c r="I9" i="3" s="1"/>
  <c r="D9" i="3"/>
  <c r="C9" i="3"/>
  <c r="B9" i="3"/>
  <c r="M8" i="3"/>
  <c r="O8" i="3" s="1"/>
  <c r="Q8" i="3" s="1"/>
  <c r="H8" i="3"/>
  <c r="I8" i="3" s="1"/>
  <c r="D8" i="3"/>
  <c r="C8" i="3"/>
  <c r="B8" i="3" s="1"/>
  <c r="N7" i="3"/>
  <c r="P7" i="3" s="1"/>
  <c r="H7" i="3"/>
  <c r="I7" i="3" s="1"/>
  <c r="D7" i="3"/>
  <c r="B7" i="3" s="1"/>
  <c r="C7" i="3"/>
  <c r="B4" i="3"/>
  <c r="C10" i="2"/>
  <c r="D41" i="1" s="1"/>
  <c r="B4" i="2"/>
  <c r="C41" i="1"/>
  <c r="C39" i="1"/>
  <c r="C38" i="1"/>
  <c r="B34" i="1"/>
  <c r="B33" i="1"/>
  <c r="B32" i="1"/>
  <c r="B31" i="1"/>
  <c r="B30" i="1"/>
  <c r="B29" i="1"/>
  <c r="C25" i="1"/>
  <c r="E25" i="1" s="1"/>
  <c r="C24" i="1"/>
  <c r="E24" i="1" s="1"/>
  <c r="C23" i="1"/>
  <c r="E23" i="1" s="1"/>
  <c r="C22" i="1"/>
  <c r="E22" i="1" s="1"/>
  <c r="C21" i="1"/>
  <c r="E21" i="1" s="1"/>
  <c r="C16" i="1"/>
  <c r="C14" i="1"/>
  <c r="C15" i="1" s="1"/>
  <c r="C13" i="1"/>
  <c r="C8" i="1"/>
  <c r="C4" i="1"/>
  <c r="B4" i="1"/>
  <c r="E13" i="1" l="1"/>
  <c r="C29" i="1"/>
  <c r="F29" i="1" s="1"/>
  <c r="C34" i="1"/>
  <c r="D34" i="1" s="1"/>
  <c r="C31" i="1"/>
  <c r="E31" i="1" s="1"/>
  <c r="C32" i="1"/>
  <c r="D32" i="1" s="1"/>
  <c r="C33" i="1"/>
  <c r="D33" i="1" s="1"/>
  <c r="C30" i="1"/>
  <c r="D30" i="1" s="1"/>
  <c r="D21" i="1"/>
  <c r="F21" i="1" s="1"/>
  <c r="D22" i="1"/>
  <c r="F22" i="1" s="1"/>
  <c r="D25" i="1"/>
  <c r="F25" i="1" s="1"/>
  <c r="D6" i="1"/>
  <c r="D16" i="1"/>
  <c r="E16" i="1" s="1"/>
  <c r="O7" i="3"/>
  <c r="Q7" i="3" s="1"/>
  <c r="D14" i="1"/>
  <c r="D24" i="1"/>
  <c r="F24" i="1" s="1"/>
  <c r="C17" i="1"/>
  <c r="D23" i="1"/>
  <c r="F23" i="1" s="1"/>
  <c r="M9" i="3"/>
  <c r="N8" i="3"/>
  <c r="P8" i="3" s="1"/>
  <c r="F30" i="1" l="1"/>
  <c r="F32" i="1"/>
  <c r="E30" i="1"/>
  <c r="F33" i="1"/>
  <c r="F34" i="1"/>
  <c r="F31" i="1"/>
  <c r="D31" i="1"/>
  <c r="E14" i="1"/>
  <c r="D17" i="1"/>
  <c r="E17" i="1" s="1"/>
  <c r="D15" i="1"/>
  <c r="E15" i="1" s="1"/>
  <c r="E33" i="1"/>
  <c r="N9" i="3"/>
  <c r="P9" i="3" s="1"/>
  <c r="M10" i="3"/>
  <c r="O9" i="3"/>
  <c r="Q9" i="3" s="1"/>
  <c r="E34" i="1"/>
  <c r="E32" i="1"/>
  <c r="C35" i="1"/>
  <c r="E29" i="1"/>
  <c r="D29" i="1"/>
  <c r="D35" i="1" s="1"/>
  <c r="F35" i="1" l="1"/>
  <c r="M11" i="3"/>
  <c r="O10" i="3"/>
  <c r="Q10" i="3" s="1"/>
  <c r="N10" i="3"/>
  <c r="P10" i="3" s="1"/>
  <c r="E35" i="1"/>
  <c r="M12" i="3" l="1"/>
  <c r="O11" i="3"/>
  <c r="Q11" i="3" s="1"/>
  <c r="N11" i="3"/>
  <c r="P11" i="3" s="1"/>
  <c r="O12" i="3" l="1"/>
  <c r="Q12" i="3" s="1"/>
  <c r="N12" i="3"/>
  <c r="P12" i="3" s="1"/>
  <c r="M13" i="3"/>
  <c r="M14" i="3" l="1"/>
  <c r="O13" i="3"/>
  <c r="Q13" i="3" s="1"/>
  <c r="N13" i="3"/>
  <c r="P13" i="3" s="1"/>
  <c r="M15" i="3" l="1"/>
  <c r="O14" i="3"/>
  <c r="Q14" i="3" s="1"/>
  <c r="N14" i="3"/>
  <c r="P14" i="3" s="1"/>
  <c r="N15" i="3" l="1"/>
  <c r="P15" i="3" s="1"/>
  <c r="M16" i="3"/>
  <c r="O15" i="3"/>
  <c r="Q15" i="3" s="1"/>
  <c r="M17" i="3" l="1"/>
  <c r="O16" i="3"/>
  <c r="Q16" i="3" s="1"/>
  <c r="N16" i="3"/>
  <c r="P16" i="3" s="1"/>
  <c r="M18" i="3" l="1"/>
  <c r="O17" i="3"/>
  <c r="Q17" i="3" s="1"/>
  <c r="N17" i="3"/>
  <c r="P17" i="3" s="1"/>
  <c r="N18" i="3" l="1"/>
  <c r="P18" i="3" s="1"/>
  <c r="M19" i="3"/>
  <c r="O18" i="3"/>
  <c r="Q18" i="3" s="1"/>
  <c r="M20" i="3" l="1"/>
  <c r="O19" i="3"/>
  <c r="Q19" i="3" s="1"/>
  <c r="N19" i="3"/>
  <c r="P19" i="3" s="1"/>
  <c r="M21" i="3" l="1"/>
  <c r="O20" i="3"/>
  <c r="Q20" i="3" s="1"/>
  <c r="N20" i="3"/>
  <c r="P20" i="3" s="1"/>
  <c r="N21" i="3" l="1"/>
  <c r="P21" i="3" s="1"/>
  <c r="M22" i="3"/>
  <c r="O21" i="3"/>
  <c r="Q21" i="3" s="1"/>
  <c r="M23" i="3" l="1"/>
  <c r="O22" i="3"/>
  <c r="Q22" i="3" s="1"/>
  <c r="N22" i="3"/>
  <c r="P22" i="3" s="1"/>
  <c r="M24" i="3" l="1"/>
  <c r="O23" i="3"/>
  <c r="Q23" i="3" s="1"/>
  <c r="N23" i="3"/>
  <c r="P23" i="3" s="1"/>
  <c r="N24" i="3" l="1"/>
  <c r="P24" i="3" s="1"/>
  <c r="M25" i="3"/>
  <c r="O24" i="3"/>
  <c r="Q24" i="3" s="1"/>
  <c r="M26" i="3" l="1"/>
  <c r="O25" i="3"/>
  <c r="Q25" i="3" s="1"/>
  <c r="N25" i="3"/>
  <c r="P25" i="3" s="1"/>
  <c r="M27" i="3" l="1"/>
  <c r="O26" i="3"/>
  <c r="Q26" i="3" s="1"/>
  <c r="N26" i="3"/>
  <c r="P26" i="3" s="1"/>
  <c r="N27" i="3" l="1"/>
  <c r="P27" i="3" s="1"/>
  <c r="M28" i="3"/>
  <c r="O27" i="3"/>
  <c r="Q27" i="3" s="1"/>
  <c r="M29" i="3" l="1"/>
  <c r="O28" i="3"/>
  <c r="Q28" i="3" s="1"/>
  <c r="N28" i="3"/>
  <c r="P28" i="3" s="1"/>
  <c r="O29" i="3" l="1"/>
  <c r="Q29" i="3" s="1"/>
  <c r="N29" i="3"/>
  <c r="P29" i="3" s="1"/>
  <c r="M30" i="3"/>
  <c r="M31" i="3" l="1"/>
  <c r="O30" i="3"/>
  <c r="Q30" i="3" s="1"/>
  <c r="N30" i="3"/>
  <c r="P30" i="3" s="1"/>
  <c r="M32" i="3" l="1"/>
  <c r="O31" i="3"/>
  <c r="Q31" i="3" s="1"/>
  <c r="N31" i="3"/>
  <c r="P31" i="3" s="1"/>
  <c r="M33" i="3" l="1"/>
  <c r="O32" i="3"/>
  <c r="Q32" i="3" s="1"/>
  <c r="N32" i="3"/>
  <c r="P32" i="3" s="1"/>
  <c r="O33" i="3" l="1"/>
  <c r="Q33" i="3" s="1"/>
  <c r="N33" i="3"/>
  <c r="P33" i="3" s="1"/>
  <c r="M34" i="3"/>
  <c r="O34" i="3" l="1"/>
  <c r="Q34" i="3" s="1"/>
  <c r="N34" i="3"/>
  <c r="P34" i="3" s="1"/>
  <c r="M35" i="3"/>
  <c r="M36" i="3" l="1"/>
  <c r="O35" i="3"/>
  <c r="Q35" i="3" s="1"/>
  <c r="N35" i="3"/>
  <c r="P35" i="3" s="1"/>
  <c r="O36" i="3" l="1"/>
  <c r="Q36" i="3" s="1"/>
  <c r="N36" i="3"/>
  <c r="P36" i="3" s="1"/>
</calcChain>
</file>

<file path=xl/sharedStrings.xml><?xml version="1.0" encoding="utf-8"?>
<sst xmlns="http://schemas.openxmlformats.org/spreadsheetml/2006/main" count="79" uniqueCount="67">
  <si>
    <t>Simulador de Renda Passiva com FIIs</t>
  </si>
  <si>
    <t>Quanto investir, por quanto tempo e quanto você recebe de dividendos por mês</t>
  </si>
  <si>
    <t>1 · ENTRADAS</t>
  </si>
  <si>
    <t>Quanto investir por mês (R$)</t>
  </si>
  <si>
    <t>Por quantos anos</t>
  </si>
  <si>
    <t>de 1 a 50 anos</t>
  </si>
  <si>
    <t>Taxa de rendimento mensal</t>
  </si>
  <si>
    <t>altere na aba Configurações</t>
  </si>
  <si>
    <t>Perfil de investidor</t>
  </si>
  <si>
    <t>Moderado</t>
  </si>
  <si>
    <t>escolha na lista</t>
  </si>
  <si>
    <t>2 · RESULTADO: APORTE INFORMADO × APORTE SUGERIDO</t>
  </si>
  <si>
    <t>Indicador</t>
  </si>
  <si>
    <t>Aporte informado</t>
  </si>
  <si>
    <t>Aporte sugerido (% do salário)</t>
  </si>
  <si>
    <t>Diferença</t>
  </si>
  <si>
    <t>Aporte mensal</t>
  </si>
  <si>
    <t>Patrimônio acumulado</t>
  </si>
  <si>
    <t>Dividendos por mês</t>
  </si>
  <si>
    <t>Total investido do seu bolso</t>
  </si>
  <si>
    <t>Ganho com juros compostos</t>
  </si>
  <si>
    <t>3 · CENÁRIOS DE 2 A 30 ANOS</t>
  </si>
  <si>
    <t>Prazo (anos)</t>
  </si>
  <si>
    <t>Patrimônio · informado</t>
  </si>
  <si>
    <t>Patrimônio · sugerido</t>
  </si>
  <si>
    <t>Dividendos/mês · informado</t>
  </si>
  <si>
    <t>Dividendos/mês · sugerido</t>
  </si>
  <si>
    <t>4 · DIVISÃO DO APORTE POR PERFIL</t>
  </si>
  <si>
    <t>Tipo de fundo</t>
  </si>
  <si>
    <t>Percentual</t>
  </si>
  <si>
    <t>Patrimônio projetado</t>
  </si>
  <si>
    <t>Total</t>
  </si>
  <si>
    <t>5 · META DE RENDA: QUANTO TEMPO PARA CHEGAR LÁ</t>
  </si>
  <si>
    <t>Meta de dividendos por mês</t>
  </si>
  <si>
    <t>Patrimônio necessário</t>
  </si>
  <si>
    <t>Aporte sugerido</t>
  </si>
  <si>
    <t>Tempo para atingir a meta</t>
  </si>
  <si>
    <t>Configurações</t>
  </si>
  <si>
    <t>SEUS DADOS</t>
  </si>
  <si>
    <t>Salário mensal líquido (R$)</t>
  </si>
  <si>
    <t>Valor de exemplo — substitua pelo seu salário.</t>
  </si>
  <si>
    <t>Rendimento mensal da carteira</t>
  </si>
  <si>
    <t>Valor de exemplo (0,8% a.m.) — use o rendimento real da sua carteira.</t>
  </si>
  <si>
    <t>% do salário destinado ao aporte</t>
  </si>
  <si>
    <t>Regra prática de 30% do salário; ajuste ao seu orçamento.</t>
  </si>
  <si>
    <t>Meta de dividendos por mês (R$)</t>
  </si>
  <si>
    <t>Valor de exemplo — quanto de renda mensal você quer alcançar.</t>
  </si>
  <si>
    <t>Sugestão de aporte mensal (R$)</t>
  </si>
  <si>
    <t>Calculado: salário × percentual. Alimenta a segunda simulação do Simulador.</t>
  </si>
  <si>
    <t>Apoio — perfis de investidor e evolução anual</t>
  </si>
  <si>
    <t>TABELA PERFIL × TIPO DE FUNDO</t>
  </si>
  <si>
    <t>PERFIS E CONFERÊNCIA</t>
  </si>
  <si>
    <t>TIPOS DE FUNDO</t>
  </si>
  <si>
    <t>EVOLUÇÃO ANO A ANO (1 A 30 ANOS)</t>
  </si>
  <si>
    <t>Chave (perfil|tipo)</t>
  </si>
  <si>
    <t>Perfil</t>
  </si>
  <si>
    <t>Soma</t>
  </si>
  <si>
    <t>Status</t>
  </si>
  <si>
    <t>Ano</t>
  </si>
  <si>
    <t>Conservador</t>
  </si>
  <si>
    <t>Papel (CRI)</t>
  </si>
  <si>
    <t>Logística</t>
  </si>
  <si>
    <t>Arrojado</t>
  </si>
  <si>
    <t>Lajes Corporativas</t>
  </si>
  <si>
    <t>Shoppings</t>
  </si>
  <si>
    <t>Fundo de Fundos (FoF)</t>
  </si>
  <si>
    <t>Híbridos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</si>
</sst>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R$ &quot;#,##0.00"/>
    <numFmt numFmtId="165" formatCode="&quot;Sugestão: R$ &quot;#,##0.00"/>
    <numFmt numFmtId="166" formatCode="0.0%"/>
    <numFmt numFmtId="167" formatCode="0.0&quot; anos&quot;"/>
  </numFmts>
  <fonts count="12" x14ac:knownFonts="1">
    <font>
      <sz val="11"/>
      <color theme="1"/>
      <name val="Calibri"/>
      <family val="2"/>
      <charset val="1"/>
    </font>
    <font>
      <b/>
      <sz val="20"/>
      <color rgb="FFFFFFFF"/>
      <name val="Arial"/>
      <charset val="1"/>
    </font>
    <font>
      <i/>
      <sz val="10"/>
      <color rgb="FFDDEBF7"/>
      <name val="Arial"/>
      <charset val="1"/>
    </font>
    <font>
      <u/>
      <sz val="10"/>
      <color rgb="FF0563C1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color rgb="FF0000FF"/>
      <name val="Arial"/>
      <charset val="1"/>
    </font>
    <font>
      <sz val="10"/>
      <color rgb="FF008000"/>
      <name val="Arial"/>
      <charset val="1"/>
    </font>
    <font>
      <i/>
      <sz val="9"/>
      <color rgb="FF595959"/>
      <name val="Arial"/>
      <charset val="1"/>
    </font>
    <font>
      <sz val="11"/>
      <color rgb="FF008000"/>
      <name val="Arial"/>
      <charset val="1"/>
    </font>
    <font>
      <b/>
      <sz val="11"/>
      <name val="Arial"/>
      <charset val="1"/>
    </font>
    <font>
      <b/>
      <sz val="13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4F81BD"/>
      </patternFill>
    </fill>
    <fill>
      <patternFill patternType="solid">
        <fgColor rgb="FFFFF9DB"/>
        <bgColor rgb="FFFFFFFF"/>
      </patternFill>
    </fill>
    <fill>
      <patternFill patternType="solid">
        <fgColor rgb="FFE4E4E4"/>
        <bgColor rgb="FFD9E2F3"/>
      </patternFill>
    </fill>
    <fill>
      <patternFill patternType="solid">
        <fgColor rgb="FFD9E2F3"/>
        <b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0" borderId="0" xfId="0" applyFont="1"/>
    <xf numFmtId="0" fontId="5" fillId="0" borderId="0" xfId="0" applyFont="1" applyAlignment="1">
      <alignment vertical="center" indent="1"/>
    </xf>
    <xf numFmtId="164" fontId="6" fillId="4" borderId="1" xfId="0" applyNumberFormat="1" applyFont="1" applyFill="1" applyBorder="1" applyAlignment="1">
      <alignment horizontal="right" vertical="center"/>
    </xf>
    <xf numFmtId="165" fontId="7" fillId="5" borderId="1" xfId="0" applyNumberFormat="1" applyFont="1" applyFill="1" applyBorder="1" applyAlignment="1">
      <alignment horizontal="right" vertical="center"/>
    </xf>
    <xf numFmtId="1" fontId="6" fillId="4" borderId="1" xfId="0" applyNumberFormat="1" applyFont="1" applyFill="1" applyBorder="1" applyAlignment="1">
      <alignment horizontal="right" vertical="center"/>
    </xf>
    <xf numFmtId="0" fontId="8" fillId="0" borderId="0" xfId="0" applyFont="1" applyAlignment="1">
      <alignment vertical="center" indent="1"/>
    </xf>
    <xf numFmtId="10" fontId="9" fillId="5" borderId="1" xfId="0" applyNumberFormat="1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164" fontId="5" fillId="5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vertical="center" indent="1"/>
    </xf>
    <xf numFmtId="164" fontId="11" fillId="5" borderId="1" xfId="0" applyNumberFormat="1" applyFont="1" applyFill="1" applyBorder="1" applyAlignment="1">
      <alignment horizontal="right" vertical="center"/>
    </xf>
    <xf numFmtId="1" fontId="6" fillId="4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 indent="1"/>
    </xf>
    <xf numFmtId="166" fontId="5" fillId="5" borderId="1" xfId="0" applyNumberFormat="1" applyFont="1" applyFill="1" applyBorder="1" applyAlignment="1">
      <alignment horizontal="right" vertical="center"/>
    </xf>
    <xf numFmtId="166" fontId="10" fillId="5" borderId="1" xfId="0" applyNumberFormat="1" applyFont="1" applyFill="1" applyBorder="1" applyAlignment="1">
      <alignment horizontal="right" vertical="center"/>
    </xf>
    <xf numFmtId="164" fontId="10" fillId="5" borderId="1" xfId="0" applyNumberFormat="1" applyFont="1" applyFill="1" applyBorder="1" applyAlignment="1">
      <alignment horizontal="right" vertical="center"/>
    </xf>
    <xf numFmtId="164" fontId="9" fillId="5" borderId="1" xfId="0" applyNumberFormat="1" applyFont="1" applyFill="1" applyBorder="1" applyAlignment="1">
      <alignment horizontal="right" vertical="center"/>
    </xf>
    <xf numFmtId="167" fontId="11" fillId="5" borderId="1" xfId="0" applyNumberFormat="1" applyFont="1" applyFill="1" applyBorder="1" applyAlignment="1">
      <alignment horizontal="right" vertical="center"/>
    </xf>
    <xf numFmtId="0" fontId="10" fillId="0" borderId="0" xfId="0" applyFont="1"/>
    <xf numFmtId="0" fontId="8" fillId="0" borderId="0" xfId="0" applyFont="1"/>
    <xf numFmtId="0" fontId="8" fillId="0" borderId="0" xfId="0" applyFont="1" applyAlignment="1">
      <alignment vertical="center"/>
    </xf>
    <xf numFmtId="10" fontId="6" fillId="4" borderId="1" xfId="0" applyNumberFormat="1" applyFont="1" applyFill="1" applyBorder="1" applyAlignment="1">
      <alignment horizontal="right" vertical="center"/>
    </xf>
    <xf numFmtId="9" fontId="6" fillId="4" borderId="1" xfId="0" applyNumberFormat="1" applyFont="1" applyFill="1" applyBorder="1" applyAlignment="1">
      <alignment horizontal="right" vertical="center"/>
    </xf>
    <xf numFmtId="0" fontId="4" fillId="3" borderId="0" xfId="0" applyFont="1" applyFill="1" applyAlignment="1">
      <alignment vertical="center" indent="1"/>
    </xf>
    <xf numFmtId="0" fontId="5" fillId="5" borderId="1" xfId="0" applyFont="1" applyFill="1" applyBorder="1" applyAlignment="1">
      <alignment horizontal="left" vertical="center" indent="1"/>
    </xf>
    <xf numFmtId="166" fontId="6" fillId="4" borderId="1" xfId="0" applyNumberFormat="1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left" vertical="center" indent="1"/>
    </xf>
    <xf numFmtId="0" fontId="5" fillId="5" borderId="1" xfId="0" applyFont="1" applyFill="1" applyBorder="1" applyAlignment="1">
      <alignment horizontal="center" vertical="center"/>
    </xf>
    <xf numFmtId="1" fontId="5" fillId="5" borderId="1" xfId="0" applyNumberFormat="1" applyFont="1" applyFill="1" applyBorder="1" applyAlignment="1">
      <alignment horizontal="center" vertical="center"/>
    </xf>
    <xf numFmtId="0" fontId="4" fillId="3" borderId="0" xfId="0" applyFont="1" applyFill="1" applyBorder="1" applyAlignment="1">
      <alignment vertical="center" indent="1"/>
    </xf>
    <xf numFmtId="0" fontId="1" fillId="2" borderId="0" xfId="0" applyFont="1" applyFill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</cellXfs>
  <cellStyles count="1">
    <cellStyle name="Normal" xfId="0" builtinId="0"/>
  </cellStyles>
  <dxfs count="2">
    <dxf>
      <font>
        <b/>
        <color rgb="FFC00000"/>
        <name val="Arial"/>
        <charset val="1"/>
      </font>
    </dxf>
    <dxf>
      <font>
        <b/>
        <color rgb="FFC00000"/>
        <name val="Arial"/>
        <charset val="1"/>
      </font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C0504D"/>
      <rgbColor rgb="FFFFF9DB"/>
      <rgbColor rgb="FFDDEBF7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E4E4E4"/>
      <rgbColor rgb="FFFFFF99"/>
      <rgbColor rgb="FF99CCFF"/>
      <rgbColor rgb="FFFF99CC"/>
      <rgbColor rgb="FFCC99FF"/>
      <rgbColor rgb="FFFFCC99"/>
      <rgbColor rgb="FF2E75B6"/>
      <rgbColor rgb="FF4BACC6"/>
      <rgbColor rgb="FF9BBB59"/>
      <rgbColor rgb="FFFFCC00"/>
      <rgbColor rgb="FFF79646"/>
      <rgbColor rgb="FFFF6600"/>
      <rgbColor rgb="FF8064A2"/>
      <rgbColor rgb="FF878787"/>
      <rgbColor rgb="FF1F3864"/>
      <rgbColor rgb="FF4F81BD"/>
      <rgbColor rgb="FF003300"/>
      <rgbColor rgb="FF333300"/>
      <rgbColor rgb="FF993300"/>
      <rgbColor rgb="FF993366"/>
      <rgbColor rgb="FF33339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Evolução do patrimônio ano a ano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Apoio!$N$6</c:f>
              <c:strCache>
                <c:ptCount val="1"/>
                <c:pt idx="0">
                  <c:v>Patrimônio · informado</c:v>
                </c:pt>
              </c:strCache>
            </c:strRef>
          </c:tx>
          <c:spPr>
            <a:ln w="28440">
              <a:solidFill>
                <a:srgbClr val="7F7F7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Apoio!$M$7:$M$36</c:f>
              <c:numCache>
                <c:formatCode>0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Apoio!$N$7:$N$36</c:f>
              <c:numCache>
                <c:formatCode>"R$ "#,##0.00</c:formatCode>
                <c:ptCount val="30"/>
                <c:pt idx="0">
                  <c:v>12542.336714518377</c:v>
                </c:pt>
                <c:pt idx="1">
                  <c:v>26343.155111119566</c:v>
                </c:pt>
                <c:pt idx="2">
                  <c:v>41528.729597849502</c:v>
                </c:pt>
                <c:pt idx="3">
                  <c:v>58238.004791907188</c:v>
                </c:pt>
                <c:pt idx="4">
                  <c:v>76623.866831880223</c:v>
                </c:pt>
                <c:pt idx="5">
                  <c:v>96854.542251789433</c:v>
                </c:pt>
                <c:pt idx="6">
                  <c:v>119115.13721632768</c:v>
                </c:pt>
                <c:pt idx="7">
                  <c:v>143609.33120095197</c:v>
                </c:pt>
                <c:pt idx="8">
                  <c:v>170561.24061362338</c:v>
                </c:pt>
                <c:pt idx="9">
                  <c:v>200217.46940991812</c:v>
                </c:pt>
                <c:pt idx="10">
                  <c:v>232849.36546418027</c:v>
                </c:pt>
                <c:pt idx="11">
                  <c:v>268755.5033420081</c:v>
                </c:pt>
                <c:pt idx="12">
                  <c:v>308264.4161908892</c:v>
                </c:pt>
                <c:pt idx="13">
                  <c:v>351737.60174517194</c:v>
                </c:pt>
                <c:pt idx="14">
                  <c:v>399572.82994965115</c:v>
                </c:pt>
                <c:pt idx="15">
                  <c:v>452207.78246578173</c:v>
                </c:pt>
                <c:pt idx="16">
                  <c:v>510124.05736119224</c:v>
                </c:pt>
                <c:pt idx="17">
                  <c:v>573851.57562451332</c:v>
                </c:pt>
                <c:pt idx="18">
                  <c:v>643973.42982414796</c:v>
                </c:pt>
                <c:pt idx="19">
                  <c:v>721131.21927512833</c:v>
                </c:pt>
                <c:pt idx="20">
                  <c:v>806030.92052964529</c:v>
                </c:pt>
                <c:pt idx="21">
                  <c:v>899449.34690493159</c:v>
                </c:pt>
                <c:pt idx="22">
                  <c:v>1002241.2561517322</c:v>
                </c:pt>
                <c:pt idx="23">
                  <c:v>1115347.1712969455</c:v>
                </c:pt>
                <c:pt idx="24">
                  <c:v>1239801.9862193991</c:v>
                </c:pt>
                <c:pt idx="25">
                  <c:v>1376744.4346978562</c:v>
                </c:pt>
                <c:pt idx="26">
                  <c:v>1527427.5095709329</c:v>
                </c:pt>
                <c:pt idx="27">
                  <c:v>1693229.9273419057</c:v>
                </c:pt>
                <c:pt idx="28">
                  <c:v>1875668.7431269977</c:v>
                </c:pt>
                <c:pt idx="29">
                  <c:v>2076413.2313710852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34-461C-A389-F57A81661B5C}"/>
            </c:ext>
          </c:extLst>
        </c:ser>
        <c:ser>
          <c:idx val="1"/>
          <c:order val="1"/>
          <c:tx>
            <c:strRef>
              <c:f>Apoio!$O$6</c:f>
              <c:strCache>
                <c:ptCount val="1"/>
                <c:pt idx="0">
                  <c:v>Patrimônio · sugerido</c:v>
                </c:pt>
              </c:strCache>
            </c:strRef>
          </c:tx>
          <c:spPr>
            <a:ln w="2844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Apoio!$M$7:$M$36</c:f>
              <c:numCache>
                <c:formatCode>0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Apoio!$O$7:$O$36</c:f>
              <c:numCache>
                <c:formatCode>"R$ "#,##0.00</c:formatCode>
                <c:ptCount val="30"/>
                <c:pt idx="0">
                  <c:v>22576.206086133076</c:v>
                </c:pt>
                <c:pt idx="1">
                  <c:v>47417.679200015213</c:v>
                </c:pt>
                <c:pt idx="2">
                  <c:v>74751.713276129114</c:v>
                </c:pt>
                <c:pt idx="3">
                  <c:v>104828.40862543293</c:v>
                </c:pt>
                <c:pt idx="4">
                  <c:v>137922.96029738439</c:v>
                </c:pt>
                <c:pt idx="5">
                  <c:v>174338.17605322099</c:v>
                </c:pt>
                <c:pt idx="6">
                  <c:v>214407.24698938982</c:v>
                </c:pt>
                <c:pt idx="7">
                  <c:v>258496.79616171354</c:v>
                </c:pt>
                <c:pt idx="8">
                  <c:v>307010.23310452205</c:v>
                </c:pt>
                <c:pt idx="9">
                  <c:v>360391.44493785262</c:v>
                </c:pt>
                <c:pt idx="10">
                  <c:v>419128.85783552448</c:v>
                </c:pt>
                <c:pt idx="11">
                  <c:v>483759.90601561463</c:v>
                </c:pt>
                <c:pt idx="12">
                  <c:v>554875.94914360065</c:v>
                </c:pt>
                <c:pt idx="13">
                  <c:v>633127.68314130954</c:v>
                </c:pt>
                <c:pt idx="14">
                  <c:v>719231.09390937199</c:v>
                </c:pt>
                <c:pt idx="15">
                  <c:v>813974.00843840709</c:v>
                </c:pt>
                <c:pt idx="16">
                  <c:v>918223.30325014598</c:v>
                </c:pt>
                <c:pt idx="17">
                  <c:v>1032932.836124124</c:v>
                </c:pt>
                <c:pt idx="18">
                  <c:v>1159152.1736834664</c:v>
                </c:pt>
                <c:pt idx="19">
                  <c:v>1298036.194695231</c:v>
                </c:pt>
                <c:pt idx="20">
                  <c:v>1450855.6569533616</c:v>
                </c:pt>
                <c:pt idx="21">
                  <c:v>1619008.8244288769</c:v>
                </c:pt>
                <c:pt idx="22">
                  <c:v>1804034.2610731178</c:v>
                </c:pt>
                <c:pt idx="23">
                  <c:v>2007624.908334502</c:v>
                </c:pt>
                <c:pt idx="24">
                  <c:v>2231643.5751949186</c:v>
                </c:pt>
                <c:pt idx="25">
                  <c:v>2478139.9824561412</c:v>
                </c:pt>
                <c:pt idx="26">
                  <c:v>2749369.517227679</c:v>
                </c:pt>
                <c:pt idx="27">
                  <c:v>3047813.8692154302</c:v>
                </c:pt>
                <c:pt idx="28">
                  <c:v>3376203.7376285959</c:v>
                </c:pt>
                <c:pt idx="29">
                  <c:v>3737543.8164679534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34-461C-A389-F57A81661B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5533242"/>
        <c:axId val="89775680"/>
      </c:lineChart>
      <c:catAx>
        <c:axId val="4553324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Anos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89775680"/>
        <c:crosses val="autoZero"/>
        <c:auto val="1"/>
        <c:lblAlgn val="ctr"/>
        <c:lblOffset val="100"/>
        <c:noMultiLvlLbl val="0"/>
      </c:catAx>
      <c:valAx>
        <c:axId val="897756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R$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4553324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Divisão do aporte (perfil escolhido)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Simulador!$C$28</c:f>
              <c:strCache>
                <c:ptCount val="1"/>
                <c:pt idx="0">
                  <c:v>Percentual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713B-4E21-B065-AB872AEBF517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713B-4E21-B065-AB872AEBF517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713B-4E21-B065-AB872AEBF517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713B-4E21-B065-AB872AEBF517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713B-4E21-B065-AB872AEBF517}"/>
              </c:ext>
            </c:extLst>
          </c:dPt>
          <c:dPt>
            <c:idx val="5"/>
            <c:bubble3D val="0"/>
            <c:spPr>
              <a:solidFill>
                <a:srgbClr val="F7964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713B-4E21-B065-AB872AEBF517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13B-4E21-B065-AB872AEBF517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13B-4E21-B065-AB872AEBF517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13B-4E21-B065-AB872AEBF517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13B-4E21-B065-AB872AEBF517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13B-4E21-B065-AB872AEBF517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13B-4E21-B065-AB872AEBF51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bestFit"/>
            <c:showLegendKey val="1"/>
            <c:showVal val="0"/>
            <c:showCatName val="0"/>
            <c:showSerName val="0"/>
            <c:showPercent val="1"/>
            <c:showBubbleSize val="1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Simulador!$B$29:$B$34</c:f>
              <c:strCache>
                <c:ptCount val="6"/>
                <c:pt idx="0">
                  <c:v>Papel (CRI)</c:v>
                </c:pt>
                <c:pt idx="1">
                  <c:v>Logística</c:v>
                </c:pt>
                <c:pt idx="2">
                  <c:v>Lajes Corporativas</c:v>
                </c:pt>
                <c:pt idx="3">
                  <c:v>Shoppings</c:v>
                </c:pt>
                <c:pt idx="4">
                  <c:v>Fundo de Fundos (FoF)</c:v>
                </c:pt>
                <c:pt idx="5">
                  <c:v>Híbridos</c:v>
                </c:pt>
              </c:strCache>
            </c:strRef>
          </c:cat>
          <c:val>
            <c:numRef>
              <c:f>Simulador!$C$29:$C$34</c:f>
              <c:numCache>
                <c:formatCode>0.0%</c:formatCode>
                <c:ptCount val="6"/>
                <c:pt idx="0">
                  <c:v>0.25</c:v>
                </c:pt>
                <c:pt idx="1">
                  <c:v>0.2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13B-4E21-B065-AB872AEBF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15</xdr:col>
      <xdr:colOff>480960</xdr:colOff>
      <xdr:row>18</xdr:row>
      <xdr:rowOff>142920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24</xdr:row>
      <xdr:rowOff>0</xdr:rowOff>
    </xdr:from>
    <xdr:to>
      <xdr:col>15</xdr:col>
      <xdr:colOff>480960</xdr:colOff>
      <xdr:row>40</xdr:row>
      <xdr:rowOff>28800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  <pageSetUpPr fitToPage="1"/>
  </sheetPr>
  <dimension ref="B1:Q47"/>
  <sheetViews>
    <sheetView showGridLines="0" showRowColHeaders="0" tabSelected="1" zoomScaleNormal="100" workbookViewId="0">
      <selection activeCell="C9" sqref="C9"/>
    </sheetView>
  </sheetViews>
  <sheetFormatPr defaultColWidth="8.7109375" defaultRowHeight="15" x14ac:dyDescent="0.25"/>
  <cols>
    <col min="1" max="1" width="2" customWidth="1"/>
    <col min="2" max="2" width="38" customWidth="1"/>
    <col min="3" max="6" width="22" customWidth="1"/>
    <col min="7" max="7" width="3" customWidth="1"/>
    <col min="8" max="17" width="10" customWidth="1"/>
  </cols>
  <sheetData>
    <row r="1" spans="2:17" ht="24" customHeight="1" x14ac:dyDescent="0.25">
      <c r="B1" s="32" t="s">
        <v>0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</row>
    <row r="2" spans="2:17" ht="24" customHeight="1" x14ac:dyDescent="0.25"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</row>
    <row r="3" spans="2:17" ht="19.5" customHeight="1" x14ac:dyDescent="0.25">
      <c r="B3" s="33" t="s">
        <v>1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</row>
    <row r="4" spans="2:17" x14ac:dyDescent="0.25">
      <c r="B4" s="1" t="str">
        <f>HYPERLINK("#'Configurações'!C6","→ Configurações")</f>
        <v>→ Configurações</v>
      </c>
      <c r="C4" s="1" t="str">
        <f>HYPERLINK("#Apoio!E7","→ Apoio")</f>
        <v>→ Apoio</v>
      </c>
    </row>
    <row r="5" spans="2:17" ht="21.75" customHeight="1" x14ac:dyDescent="0.25">
      <c r="B5" s="31" t="s">
        <v>2</v>
      </c>
      <c r="C5" s="31"/>
      <c r="D5" s="31"/>
      <c r="E5" s="31"/>
      <c r="F5" s="31"/>
    </row>
    <row r="6" spans="2:17" x14ac:dyDescent="0.25">
      <c r="B6" s="2" t="s">
        <v>3</v>
      </c>
      <c r="C6" s="3">
        <v>1000</v>
      </c>
      <c r="D6" s="4">
        <f>sugestao_aporte</f>
        <v>1800</v>
      </c>
    </row>
    <row r="7" spans="2:17" x14ac:dyDescent="0.25">
      <c r="B7" s="2" t="s">
        <v>4</v>
      </c>
      <c r="C7" s="5">
        <v>20</v>
      </c>
      <c r="D7" s="6" t="s">
        <v>5</v>
      </c>
    </row>
    <row r="8" spans="2:17" x14ac:dyDescent="0.25">
      <c r="B8" s="2" t="s">
        <v>6</v>
      </c>
      <c r="C8" s="7">
        <f>taxa_mensal</f>
        <v>8.0000000000000002E-3</v>
      </c>
      <c r="D8" s="6" t="s">
        <v>7</v>
      </c>
    </row>
    <row r="9" spans="2:17" x14ac:dyDescent="0.25">
      <c r="B9" s="2" t="s">
        <v>8</v>
      </c>
      <c r="C9" s="8" t="s">
        <v>9</v>
      </c>
      <c r="D9" s="6" t="s">
        <v>10</v>
      </c>
    </row>
    <row r="11" spans="2:17" ht="21.75" customHeight="1" x14ac:dyDescent="0.25">
      <c r="B11" s="31" t="s">
        <v>11</v>
      </c>
      <c r="C11" s="31"/>
      <c r="D11" s="31"/>
      <c r="E11" s="31"/>
      <c r="F11" s="31"/>
    </row>
    <row r="12" spans="2:17" ht="31.5" customHeight="1" x14ac:dyDescent="0.25">
      <c r="B12" s="9" t="s">
        <v>12</v>
      </c>
      <c r="C12" s="9" t="s">
        <v>13</v>
      </c>
      <c r="D12" s="9" t="s">
        <v>14</v>
      </c>
      <c r="E12" s="9" t="s">
        <v>15</v>
      </c>
    </row>
    <row r="13" spans="2:17" x14ac:dyDescent="0.25">
      <c r="B13" s="2" t="s">
        <v>16</v>
      </c>
      <c r="C13" s="10">
        <f>aporte</f>
        <v>1000</v>
      </c>
      <c r="D13" s="10">
        <f>sugestao_aporte</f>
        <v>1800</v>
      </c>
      <c r="E13" s="10">
        <f>D13-C13</f>
        <v>800</v>
      </c>
    </row>
    <row r="14" spans="2:17" ht="24" customHeight="1" x14ac:dyDescent="0.25">
      <c r="B14" s="11" t="s">
        <v>17</v>
      </c>
      <c r="C14" s="12">
        <f>FV(taxa_mensal,prazo_anos*12,-aporte)</f>
        <v>721131.21927512833</v>
      </c>
      <c r="D14" s="12">
        <f>FV(taxa_mensal,prazo_anos*12,-sugestao_aporte)</f>
        <v>1298036.194695231</v>
      </c>
      <c r="E14" s="12">
        <f>D14-C14</f>
        <v>576904.97542010271</v>
      </c>
    </row>
    <row r="15" spans="2:17" ht="24" customHeight="1" x14ac:dyDescent="0.25">
      <c r="B15" s="11" t="s">
        <v>18</v>
      </c>
      <c r="C15" s="12">
        <f>patrimonio*taxa_mensal</f>
        <v>5769.0497542010271</v>
      </c>
      <c r="D15" s="12">
        <f>patrimonio_sugestao*taxa_mensal</f>
        <v>10384.289557561848</v>
      </c>
      <c r="E15" s="12">
        <f>D15-C15</f>
        <v>4615.2398033608206</v>
      </c>
    </row>
    <row r="16" spans="2:17" x14ac:dyDescent="0.25">
      <c r="B16" s="2" t="s">
        <v>19</v>
      </c>
      <c r="C16" s="10">
        <f>aporte*prazo_anos*12</f>
        <v>240000</v>
      </c>
      <c r="D16" s="10">
        <f>sugestao_aporte*prazo_anos*12</f>
        <v>432000</v>
      </c>
      <c r="E16" s="10">
        <f>D16-C16</f>
        <v>192000</v>
      </c>
    </row>
    <row r="17" spans="2:6" x14ac:dyDescent="0.25">
      <c r="B17" s="2" t="s">
        <v>20</v>
      </c>
      <c r="C17" s="10">
        <f>patrimonio-C16</f>
        <v>481131.21927512833</v>
      </c>
      <c r="D17" s="10">
        <f>patrimonio_sugestao-D16</f>
        <v>866036.19469523104</v>
      </c>
      <c r="E17" s="10">
        <f>D17-C17</f>
        <v>384904.97542010271</v>
      </c>
    </row>
    <row r="19" spans="2:6" ht="21.75" customHeight="1" x14ac:dyDescent="0.25">
      <c r="B19" s="31" t="s">
        <v>21</v>
      </c>
      <c r="C19" s="31"/>
      <c r="D19" s="31"/>
      <c r="E19" s="31"/>
      <c r="F19" s="31"/>
    </row>
    <row r="20" spans="2:6" ht="31.5" customHeight="1" x14ac:dyDescent="0.25">
      <c r="B20" s="9" t="s">
        <v>22</v>
      </c>
      <c r="C20" s="9" t="s">
        <v>23</v>
      </c>
      <c r="D20" s="9" t="s">
        <v>24</v>
      </c>
      <c r="E20" s="9" t="s">
        <v>25</v>
      </c>
      <c r="F20" s="9" t="s">
        <v>26</v>
      </c>
    </row>
    <row r="21" spans="2:6" x14ac:dyDescent="0.25">
      <c r="B21" s="13">
        <v>2</v>
      </c>
      <c r="C21" s="10">
        <f>FV(taxa_mensal,B21*12,-aporte)</f>
        <v>26343.155111119566</v>
      </c>
      <c r="D21" s="10">
        <f>FV(taxa_mensal,B21*12,-sugestao_aporte)</f>
        <v>47417.679200015213</v>
      </c>
      <c r="E21" s="10">
        <f t="shared" ref="E21:F25" si="0">C21*taxa_mensal</f>
        <v>210.74524088895654</v>
      </c>
      <c r="F21" s="10">
        <f t="shared" si="0"/>
        <v>379.34143360012172</v>
      </c>
    </row>
    <row r="22" spans="2:6" x14ac:dyDescent="0.25">
      <c r="B22" s="13">
        <v>5</v>
      </c>
      <c r="C22" s="10">
        <f>FV(taxa_mensal,B22*12,-aporte)</f>
        <v>76623.866831880223</v>
      </c>
      <c r="D22" s="10">
        <f>FV(taxa_mensal,B22*12,-sugestao_aporte)</f>
        <v>137922.96029738439</v>
      </c>
      <c r="E22" s="10">
        <f t="shared" si="0"/>
        <v>612.99093465504177</v>
      </c>
      <c r="F22" s="10">
        <f t="shared" si="0"/>
        <v>1103.383682379075</v>
      </c>
    </row>
    <row r="23" spans="2:6" x14ac:dyDescent="0.25">
      <c r="B23" s="13">
        <v>10</v>
      </c>
      <c r="C23" s="10">
        <f>FV(taxa_mensal,B23*12,-aporte)</f>
        <v>200217.46940991812</v>
      </c>
      <c r="D23" s="10">
        <f>FV(taxa_mensal,B23*12,-sugestao_aporte)</f>
        <v>360391.44493785262</v>
      </c>
      <c r="E23" s="10">
        <f t="shared" si="0"/>
        <v>1601.739755279345</v>
      </c>
      <c r="F23" s="10">
        <f t="shared" si="0"/>
        <v>2883.1315595028209</v>
      </c>
    </row>
    <row r="24" spans="2:6" x14ac:dyDescent="0.25">
      <c r="B24" s="13">
        <v>20</v>
      </c>
      <c r="C24" s="10">
        <f>FV(taxa_mensal,B24*12,-aporte)</f>
        <v>721131.21927512833</v>
      </c>
      <c r="D24" s="10">
        <f>FV(taxa_mensal,B24*12,-sugestao_aporte)</f>
        <v>1298036.194695231</v>
      </c>
      <c r="E24" s="10">
        <f t="shared" si="0"/>
        <v>5769.0497542010271</v>
      </c>
      <c r="F24" s="10">
        <f t="shared" si="0"/>
        <v>10384.289557561848</v>
      </c>
    </row>
    <row r="25" spans="2:6" x14ac:dyDescent="0.25">
      <c r="B25" s="13">
        <v>30</v>
      </c>
      <c r="C25" s="10">
        <f>FV(taxa_mensal,B25*12,-aporte)</f>
        <v>2076413.2313710852</v>
      </c>
      <c r="D25" s="10">
        <f>FV(taxa_mensal,B25*12,-sugestao_aporte)</f>
        <v>3737543.8164679534</v>
      </c>
      <c r="E25" s="10">
        <f t="shared" si="0"/>
        <v>16611.305850968682</v>
      </c>
      <c r="F25" s="10">
        <f t="shared" si="0"/>
        <v>29900.350531743628</v>
      </c>
    </row>
    <row r="27" spans="2:6" ht="21.75" customHeight="1" x14ac:dyDescent="0.25">
      <c r="B27" s="31" t="s">
        <v>27</v>
      </c>
      <c r="C27" s="31"/>
      <c r="D27" s="31"/>
      <c r="E27" s="31"/>
      <c r="F27" s="31"/>
    </row>
    <row r="28" spans="2:6" ht="21.75" customHeight="1" x14ac:dyDescent="0.25">
      <c r="B28" s="9" t="s">
        <v>28</v>
      </c>
      <c r="C28" s="9" t="s">
        <v>29</v>
      </c>
      <c r="D28" s="9" t="s">
        <v>16</v>
      </c>
      <c r="E28" s="9" t="s">
        <v>30</v>
      </c>
      <c r="F28" s="9" t="s">
        <v>18</v>
      </c>
    </row>
    <row r="29" spans="2:6" x14ac:dyDescent="0.25">
      <c r="B29" s="14" t="str">
        <f>Apoio!$K$7</f>
        <v>Papel (CRI)</v>
      </c>
      <c r="C29" s="15">
        <f t="shared" ref="C29:C34" si="1">IFERROR(VLOOKUP(perfil&amp;"|"&amp;B29,tabela_perfis,4,FALSE()),0)</f>
        <v>0.25</v>
      </c>
      <c r="D29" s="10">
        <f t="shared" ref="D29:D34" si="2">aporte*C29</f>
        <v>250</v>
      </c>
      <c r="E29" s="10">
        <f t="shared" ref="E29:E34" si="3">patrimonio*C29</f>
        <v>180282.80481878208</v>
      </c>
      <c r="F29" s="10">
        <f t="shared" ref="F29:F34" si="4">dividendos*C29</f>
        <v>1442.2624385502568</v>
      </c>
    </row>
    <row r="30" spans="2:6" x14ac:dyDescent="0.25">
      <c r="B30" s="14" t="str">
        <f>Apoio!$K$8</f>
        <v>Logística</v>
      </c>
      <c r="C30" s="15">
        <f t="shared" si="1"/>
        <v>0.2</v>
      </c>
      <c r="D30" s="10">
        <f t="shared" si="2"/>
        <v>200</v>
      </c>
      <c r="E30" s="10">
        <f t="shared" si="3"/>
        <v>144226.24385502568</v>
      </c>
      <c r="F30" s="10">
        <f t="shared" si="4"/>
        <v>1153.8099508402054</v>
      </c>
    </row>
    <row r="31" spans="2:6" x14ac:dyDescent="0.25">
      <c r="B31" s="14" t="str">
        <f>Apoio!$K$9</f>
        <v>Lajes Corporativas</v>
      </c>
      <c r="C31" s="15">
        <f t="shared" si="1"/>
        <v>0.15</v>
      </c>
      <c r="D31" s="10">
        <f t="shared" si="2"/>
        <v>150</v>
      </c>
      <c r="E31" s="10">
        <f t="shared" si="3"/>
        <v>108169.68289126924</v>
      </c>
      <c r="F31" s="10">
        <f t="shared" si="4"/>
        <v>865.35746313015409</v>
      </c>
    </row>
    <row r="32" spans="2:6" x14ac:dyDescent="0.25">
      <c r="B32" s="14" t="str">
        <f>Apoio!$K$10</f>
        <v>Shoppings</v>
      </c>
      <c r="C32" s="15">
        <f t="shared" si="1"/>
        <v>0.15</v>
      </c>
      <c r="D32" s="10">
        <f t="shared" si="2"/>
        <v>150</v>
      </c>
      <c r="E32" s="10">
        <f t="shared" si="3"/>
        <v>108169.68289126924</v>
      </c>
      <c r="F32" s="10">
        <f t="shared" si="4"/>
        <v>865.35746313015409</v>
      </c>
    </row>
    <row r="33" spans="2:6" x14ac:dyDescent="0.25">
      <c r="B33" s="14" t="str">
        <f>Apoio!$K$11</f>
        <v>Fundo de Fundos (FoF)</v>
      </c>
      <c r="C33" s="15">
        <f t="shared" si="1"/>
        <v>0.15</v>
      </c>
      <c r="D33" s="10">
        <f t="shared" si="2"/>
        <v>150</v>
      </c>
      <c r="E33" s="10">
        <f t="shared" si="3"/>
        <v>108169.68289126924</v>
      </c>
      <c r="F33" s="10">
        <f t="shared" si="4"/>
        <v>865.35746313015409</v>
      </c>
    </row>
    <row r="34" spans="2:6" x14ac:dyDescent="0.25">
      <c r="B34" s="14" t="str">
        <f>Apoio!$K$12</f>
        <v>Híbridos</v>
      </c>
      <c r="C34" s="15">
        <f t="shared" si="1"/>
        <v>0.1</v>
      </c>
      <c r="D34" s="10">
        <f t="shared" si="2"/>
        <v>100</v>
      </c>
      <c r="E34" s="10">
        <f t="shared" si="3"/>
        <v>72113.121927512839</v>
      </c>
      <c r="F34" s="10">
        <f t="shared" si="4"/>
        <v>576.90497542010269</v>
      </c>
    </row>
    <row r="35" spans="2:6" x14ac:dyDescent="0.25">
      <c r="B35" s="11" t="s">
        <v>31</v>
      </c>
      <c r="C35" s="16">
        <f>SUM(C29:C34)</f>
        <v>1</v>
      </c>
      <c r="D35" s="17">
        <f>SUM(D29:D34)</f>
        <v>1000</v>
      </c>
      <c r="E35" s="17">
        <f>SUM(E29:E34)</f>
        <v>721131.21927512821</v>
      </c>
      <c r="F35" s="17">
        <f>SUM(F29:F34)</f>
        <v>5769.0497542010271</v>
      </c>
    </row>
    <row r="37" spans="2:6" ht="21.75" customHeight="1" x14ac:dyDescent="0.25">
      <c r="B37" s="31" t="s">
        <v>32</v>
      </c>
      <c r="C37" s="31"/>
      <c r="D37" s="31"/>
      <c r="E37" s="31"/>
      <c r="F37" s="31"/>
    </row>
    <row r="38" spans="2:6" x14ac:dyDescent="0.25">
      <c r="B38" s="2" t="s">
        <v>33</v>
      </c>
      <c r="C38" s="18">
        <f>meta_renda</f>
        <v>5000</v>
      </c>
    </row>
    <row r="39" spans="2:6" x14ac:dyDescent="0.25">
      <c r="B39" s="2" t="s">
        <v>34</v>
      </c>
      <c r="C39" s="10">
        <f>IF(taxa_mensal&gt;0,meta_renda/taxa_mensal,0)</f>
        <v>625000</v>
      </c>
    </row>
    <row r="40" spans="2:6" ht="21.75" customHeight="1" x14ac:dyDescent="0.25">
      <c r="C40" s="9" t="s">
        <v>13</v>
      </c>
      <c r="D40" s="9" t="s">
        <v>35</v>
      </c>
    </row>
    <row r="41" spans="2:6" ht="24" customHeight="1" x14ac:dyDescent="0.25">
      <c r="B41" s="11" t="s">
        <v>36</v>
      </c>
      <c r="C41" s="19">
        <f>IFERROR(NPER(taxa_mensal,-aporte,0,patrimonio_meta)/12,"—")</f>
        <v>18.738718636313436</v>
      </c>
      <c r="D41" s="19">
        <f>IFERROR(NPER(taxa_mensal,-sugestao_aporte,0,patrimonio_meta)/12,"—")</f>
        <v>13.900473234958909</v>
      </c>
    </row>
    <row r="43" spans="2:6" x14ac:dyDescent="0.25">
      <c r="B43" s="20"/>
    </row>
    <row r="44" spans="2:6" x14ac:dyDescent="0.25">
      <c r="B44" s="21"/>
    </row>
    <row r="45" spans="2:6" x14ac:dyDescent="0.25">
      <c r="B45" s="21"/>
    </row>
    <row r="46" spans="2:6" x14ac:dyDescent="0.25">
      <c r="B46" s="21"/>
    </row>
    <row r="47" spans="2:6" x14ac:dyDescent="0.25">
      <c r="B47" s="21"/>
    </row>
  </sheetData>
  <mergeCells count="7">
    <mergeCell ref="B27:F27"/>
    <mergeCell ref="B37:F37"/>
    <mergeCell ref="B1:Q2"/>
    <mergeCell ref="B3:Q3"/>
    <mergeCell ref="B5:F5"/>
    <mergeCell ref="B11:F11"/>
    <mergeCell ref="B19:F19"/>
  </mergeCells>
  <conditionalFormatting sqref="C35">
    <cfRule type="expression" dxfId="1" priority="2">
      <formula>ROUND($C$35,4)&lt;&gt;1</formula>
    </cfRule>
  </conditionalFormatting>
  <dataValidations count="3">
    <dataValidation type="decimal" operator="greaterThanOrEqual" showErrorMessage="1" errorTitle="Valor inválido" error="Informe um aporte maior ou igual a zero." sqref="C6" xr:uid="{00000000-0002-0000-0000-000000000000}">
      <formula1>0</formula1>
      <formula2>0</formula2>
    </dataValidation>
    <dataValidation type="whole" showErrorMessage="1" errorTitle="Valor inválido" error="Informe um número inteiro de anos entre 1 e 50." sqref="C7" xr:uid="{00000000-0002-0000-0000-000001000000}">
      <formula1>1</formula1>
      <formula2>50</formula2>
    </dataValidation>
    <dataValidation type="list" showErrorMessage="1" errorTitle="Perfil inválido" error="Escolha um perfil da lista." sqref="C9" xr:uid="{00000000-0002-0000-0000-000002000000}">
      <formula1>lista_perfis</formula1>
      <formula2>0</formula2>
    </dataValidation>
  </dataValidations>
  <pageMargins left="0.75" right="0.75" top="1" bottom="1" header="0.511811023622047" footer="0.511811023622047"/>
  <pageSetup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B1:E12"/>
  <sheetViews>
    <sheetView showGridLines="0" showRowColHeaders="0" zoomScaleNormal="100" workbookViewId="0">
      <selection activeCell="B4" sqref="B4"/>
    </sheetView>
  </sheetViews>
  <sheetFormatPr defaultColWidth="8.7109375" defaultRowHeight="15" x14ac:dyDescent="0.25"/>
  <cols>
    <col min="1" max="1" width="2" customWidth="1"/>
    <col min="2" max="2" width="42" customWidth="1"/>
    <col min="3" max="3" width="20" customWidth="1"/>
    <col min="4" max="4" width="4" customWidth="1"/>
    <col min="5" max="5" width="64" customWidth="1"/>
  </cols>
  <sheetData>
    <row r="1" spans="2:5" x14ac:dyDescent="0.25">
      <c r="B1" s="32" t="s">
        <v>37</v>
      </c>
      <c r="C1" s="32"/>
      <c r="D1" s="32"/>
      <c r="E1" s="32"/>
    </row>
    <row r="2" spans="2:5" x14ac:dyDescent="0.25">
      <c r="B2" s="32"/>
      <c r="C2" s="32"/>
      <c r="D2" s="32"/>
      <c r="E2" s="32"/>
    </row>
    <row r="3" spans="2:5" x14ac:dyDescent="0.25">
      <c r="B3" s="33"/>
      <c r="C3" s="33"/>
      <c r="D3" s="33"/>
      <c r="E3" s="33"/>
    </row>
    <row r="4" spans="2:5" x14ac:dyDescent="0.25">
      <c r="B4" s="1" t="str">
        <f>HYPERLINK("#Simulador!C6","← Voltar ao Simulador")</f>
        <v>← Voltar ao Simulador</v>
      </c>
    </row>
    <row r="5" spans="2:5" ht="21.75" customHeight="1" x14ac:dyDescent="0.25">
      <c r="B5" s="31" t="s">
        <v>38</v>
      </c>
      <c r="C5" s="31"/>
      <c r="D5" s="31"/>
      <c r="E5" s="31"/>
    </row>
    <row r="6" spans="2:5" x14ac:dyDescent="0.25">
      <c r="B6" s="2" t="s">
        <v>39</v>
      </c>
      <c r="C6" s="3">
        <v>6000</v>
      </c>
      <c r="E6" s="22" t="s">
        <v>40</v>
      </c>
    </row>
    <row r="7" spans="2:5" x14ac:dyDescent="0.25">
      <c r="B7" s="2" t="s">
        <v>41</v>
      </c>
      <c r="C7" s="23">
        <v>8.0000000000000002E-3</v>
      </c>
      <c r="E7" s="22" t="s">
        <v>42</v>
      </c>
    </row>
    <row r="8" spans="2:5" x14ac:dyDescent="0.25">
      <c r="B8" s="2" t="s">
        <v>43</v>
      </c>
      <c r="C8" s="24">
        <v>0.3</v>
      </c>
      <c r="E8" s="22" t="s">
        <v>44</v>
      </c>
    </row>
    <row r="9" spans="2:5" x14ac:dyDescent="0.25">
      <c r="B9" s="2" t="s">
        <v>45</v>
      </c>
      <c r="C9" s="3">
        <v>5000</v>
      </c>
      <c r="E9" s="22" t="s">
        <v>46</v>
      </c>
    </row>
    <row r="10" spans="2:5" x14ac:dyDescent="0.25">
      <c r="B10" s="11" t="s">
        <v>47</v>
      </c>
      <c r="C10" s="17">
        <f>salario*pct_aporte</f>
        <v>1800</v>
      </c>
      <c r="E10" s="21" t="s">
        <v>48</v>
      </c>
    </row>
    <row r="12" spans="2:5" x14ac:dyDescent="0.25">
      <c r="B12" s="21"/>
    </row>
  </sheetData>
  <mergeCells count="3">
    <mergeCell ref="B1:E2"/>
    <mergeCell ref="B3:E3"/>
    <mergeCell ref="B5:E5"/>
  </mergeCells>
  <dataValidations count="3">
    <dataValidation type="decimal" operator="greaterThanOrEqual" showErrorMessage="1" errorTitle="Valor inválido" error="Informe um valor maior ou igual a zero." sqref="C6 C9" xr:uid="{00000000-0002-0000-0100-000000000000}">
      <formula1>0</formula1>
      <formula2>0</formula2>
    </dataValidation>
    <dataValidation type="decimal" showErrorMessage="1" errorTitle="Valor inválido" error="Informe a taxa mensal entre 0% e 10%." sqref="C7" xr:uid="{00000000-0002-0000-0100-000001000000}">
      <formula1>0</formula1>
      <formula2>0.1</formula2>
    </dataValidation>
    <dataValidation type="decimal" showErrorMessage="1" errorTitle="Valor inválido" error="Informe um percentual entre 0% e 100%." sqref="C8" xr:uid="{00000000-0002-0000-0100-000002000000}">
      <formula1>0</formula1>
      <formula2>1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F7F7F"/>
  </sheetPr>
  <dimension ref="B1:Q36"/>
  <sheetViews>
    <sheetView showGridLines="0" showRowColHeaders="0" topLeftCell="B3" zoomScaleNormal="100" workbookViewId="0">
      <selection activeCell="B4" sqref="B4"/>
    </sheetView>
  </sheetViews>
  <sheetFormatPr defaultColWidth="8.7109375" defaultRowHeight="15" x14ac:dyDescent="0.25"/>
  <cols>
    <col min="1" max="1" width="2" customWidth="1"/>
    <col min="2" max="2" width="26" customWidth="1"/>
    <col min="3" max="3" width="16" customWidth="1"/>
    <col min="4" max="4" width="28" customWidth="1"/>
    <col min="5" max="5" width="14" customWidth="1"/>
    <col min="6" max="6" width="3" customWidth="1"/>
    <col min="7" max="7" width="18" customWidth="1"/>
    <col min="8" max="8" width="12" customWidth="1"/>
    <col min="9" max="9" width="28" customWidth="1"/>
    <col min="10" max="10" width="3" customWidth="1"/>
    <col min="11" max="11" width="28" customWidth="1"/>
    <col min="12" max="12" width="3" customWidth="1"/>
    <col min="13" max="13" width="8" customWidth="1"/>
    <col min="14" max="17" width="20" customWidth="1"/>
  </cols>
  <sheetData>
    <row r="1" spans="2:17" x14ac:dyDescent="0.25">
      <c r="B1" s="32" t="s">
        <v>49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</row>
    <row r="2" spans="2:17" x14ac:dyDescent="0.25"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</row>
    <row r="3" spans="2:17" x14ac:dyDescent="0.25"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</row>
    <row r="4" spans="2:17" x14ac:dyDescent="0.25">
      <c r="B4" s="1" t="str">
        <f>HYPERLINK("#Simulador!C6","← Voltar ao Simulador")</f>
        <v>← Voltar ao Simulador</v>
      </c>
    </row>
    <row r="5" spans="2:17" ht="21.75" customHeight="1" x14ac:dyDescent="0.25">
      <c r="B5" s="31" t="s">
        <v>50</v>
      </c>
      <c r="C5" s="31"/>
      <c r="D5" s="31"/>
      <c r="E5" s="31"/>
      <c r="G5" s="31" t="s">
        <v>51</v>
      </c>
      <c r="H5" s="31"/>
      <c r="I5" s="31"/>
      <c r="K5" s="25" t="s">
        <v>52</v>
      </c>
      <c r="M5" s="31" t="s">
        <v>53</v>
      </c>
      <c r="N5" s="31"/>
      <c r="O5" s="31"/>
      <c r="P5" s="31"/>
      <c r="Q5" s="31"/>
    </row>
    <row r="6" spans="2:17" ht="31.5" customHeight="1" x14ac:dyDescent="0.25">
      <c r="B6" s="9" t="s">
        <v>54</v>
      </c>
      <c r="C6" s="9" t="s">
        <v>55</v>
      </c>
      <c r="D6" s="9" t="s">
        <v>28</v>
      </c>
      <c r="E6" s="9" t="s">
        <v>29</v>
      </c>
      <c r="G6" s="9" t="s">
        <v>55</v>
      </c>
      <c r="H6" s="9" t="s">
        <v>56</v>
      </c>
      <c r="I6" s="9" t="s">
        <v>57</v>
      </c>
      <c r="K6" s="9" t="s">
        <v>28</v>
      </c>
      <c r="M6" s="9" t="s">
        <v>58</v>
      </c>
      <c r="N6" s="9" t="s">
        <v>23</v>
      </c>
      <c r="O6" s="9" t="s">
        <v>24</v>
      </c>
      <c r="P6" s="9" t="s">
        <v>25</v>
      </c>
      <c r="Q6" s="9" t="s">
        <v>26</v>
      </c>
    </row>
    <row r="7" spans="2:17" x14ac:dyDescent="0.25">
      <c r="B7" s="26" t="str">
        <f t="shared" ref="B7:B24" si="0">C7&amp;"|"&amp;D7</f>
        <v>Conservador|Papel (CRI)</v>
      </c>
      <c r="C7" s="26" t="str">
        <f t="shared" ref="C7:C12" si="1">$G$7</f>
        <v>Conservador</v>
      </c>
      <c r="D7" s="26" t="str">
        <f>$K$7</f>
        <v>Papel (CRI)</v>
      </c>
      <c r="E7" s="27">
        <v>0.35</v>
      </c>
      <c r="G7" s="28" t="s">
        <v>59</v>
      </c>
      <c r="H7" s="15">
        <f>SUMIF($C$7:$C$24,G7,$E$7:$E$24)</f>
        <v>1</v>
      </c>
      <c r="I7" s="29" t="str">
        <f>IF(ROUND(H7,4)=1,"OK","Revisar: deve somar 100%")</f>
        <v>OK</v>
      </c>
      <c r="K7" s="28" t="s">
        <v>60</v>
      </c>
      <c r="M7" s="13">
        <v>1</v>
      </c>
      <c r="N7" s="10">
        <f t="shared" ref="N7:N36" si="2">FV(taxa_mensal,M7*12,-aporte)</f>
        <v>12542.336714518377</v>
      </c>
      <c r="O7" s="10">
        <f t="shared" ref="O7:O36" si="3">FV(taxa_mensal,M7*12,-sugestao_aporte)</f>
        <v>22576.206086133076</v>
      </c>
      <c r="P7" s="10">
        <f t="shared" ref="P7:P36" si="4">N7*taxa_mensal</f>
        <v>100.33869371614702</v>
      </c>
      <c r="Q7" s="10">
        <f t="shared" ref="Q7:Q36" si="5">O7*taxa_mensal</f>
        <v>180.60964868906461</v>
      </c>
    </row>
    <row r="8" spans="2:17" x14ac:dyDescent="0.25">
      <c r="B8" s="26" t="str">
        <f t="shared" si="0"/>
        <v>Conservador|Logística</v>
      </c>
      <c r="C8" s="26" t="str">
        <f t="shared" si="1"/>
        <v>Conservador</v>
      </c>
      <c r="D8" s="26" t="str">
        <f>$K$8</f>
        <v>Logística</v>
      </c>
      <c r="E8" s="27">
        <v>0.2</v>
      </c>
      <c r="G8" s="28" t="s">
        <v>9</v>
      </c>
      <c r="H8" s="15">
        <f>SUMIF($C$7:$C$24,G8,$E$7:$E$24)</f>
        <v>1</v>
      </c>
      <c r="I8" s="29" t="str">
        <f>IF(ROUND(H8,4)=1,"OK","Revisar: deve somar 100%")</f>
        <v>OK</v>
      </c>
      <c r="K8" s="28" t="s">
        <v>61</v>
      </c>
      <c r="M8" s="30">
        <f t="shared" ref="M8:M36" si="6">M7+1</f>
        <v>2</v>
      </c>
      <c r="N8" s="10">
        <f t="shared" si="2"/>
        <v>26343.155111119566</v>
      </c>
      <c r="O8" s="10">
        <f t="shared" si="3"/>
        <v>47417.679200015213</v>
      </c>
      <c r="P8" s="10">
        <f t="shared" si="4"/>
        <v>210.74524088895654</v>
      </c>
      <c r="Q8" s="10">
        <f t="shared" si="5"/>
        <v>379.34143360012172</v>
      </c>
    </row>
    <row r="9" spans="2:17" x14ac:dyDescent="0.25">
      <c r="B9" s="26" t="str">
        <f t="shared" si="0"/>
        <v>Conservador|Lajes Corporativas</v>
      </c>
      <c r="C9" s="26" t="str">
        <f t="shared" si="1"/>
        <v>Conservador</v>
      </c>
      <c r="D9" s="26" t="str">
        <f>$K$9</f>
        <v>Lajes Corporativas</v>
      </c>
      <c r="E9" s="27">
        <v>0.05</v>
      </c>
      <c r="G9" s="28" t="s">
        <v>62</v>
      </c>
      <c r="H9" s="15">
        <f>SUMIF($C$7:$C$24,G9,$E$7:$E$24)</f>
        <v>1</v>
      </c>
      <c r="I9" s="29" t="str">
        <f>IF(ROUND(H9,4)=1,"OK","Revisar: deve somar 100%")</f>
        <v>OK</v>
      </c>
      <c r="K9" s="28" t="s">
        <v>63</v>
      </c>
      <c r="M9" s="30">
        <f t="shared" si="6"/>
        <v>3</v>
      </c>
      <c r="N9" s="10">
        <f t="shared" si="2"/>
        <v>41528.729597849502</v>
      </c>
      <c r="O9" s="10">
        <f t="shared" si="3"/>
        <v>74751.713276129114</v>
      </c>
      <c r="P9" s="10">
        <f t="shared" si="4"/>
        <v>332.22983678279604</v>
      </c>
      <c r="Q9" s="10">
        <f t="shared" si="5"/>
        <v>598.01370620903288</v>
      </c>
    </row>
    <row r="10" spans="2:17" x14ac:dyDescent="0.25">
      <c r="B10" s="26" t="str">
        <f t="shared" si="0"/>
        <v>Conservador|Shoppings</v>
      </c>
      <c r="C10" s="26" t="str">
        <f t="shared" si="1"/>
        <v>Conservador</v>
      </c>
      <c r="D10" s="26" t="str">
        <f>$K$10</f>
        <v>Shoppings</v>
      </c>
      <c r="E10" s="27">
        <v>0.1</v>
      </c>
      <c r="K10" s="28" t="s">
        <v>64</v>
      </c>
      <c r="M10" s="30">
        <f t="shared" si="6"/>
        <v>4</v>
      </c>
      <c r="N10" s="10">
        <f t="shared" si="2"/>
        <v>58238.004791907188</v>
      </c>
      <c r="O10" s="10">
        <f t="shared" si="3"/>
        <v>104828.40862543293</v>
      </c>
      <c r="P10" s="10">
        <f t="shared" si="4"/>
        <v>465.9040383352575</v>
      </c>
      <c r="Q10" s="10">
        <f t="shared" si="5"/>
        <v>838.62726900346343</v>
      </c>
    </row>
    <row r="11" spans="2:17" x14ac:dyDescent="0.25">
      <c r="B11" s="26" t="str">
        <f t="shared" si="0"/>
        <v>Conservador|Fundo de Fundos (FoF)</v>
      </c>
      <c r="C11" s="26" t="str">
        <f t="shared" si="1"/>
        <v>Conservador</v>
      </c>
      <c r="D11" s="26" t="str">
        <f>$K$11</f>
        <v>Fundo de Fundos (FoF)</v>
      </c>
      <c r="E11" s="27">
        <v>0.25</v>
      </c>
      <c r="K11" s="28" t="s">
        <v>65</v>
      </c>
      <c r="M11" s="30">
        <f t="shared" si="6"/>
        <v>5</v>
      </c>
      <c r="N11" s="10">
        <f t="shared" si="2"/>
        <v>76623.866831880223</v>
      </c>
      <c r="O11" s="10">
        <f t="shared" si="3"/>
        <v>137922.96029738439</v>
      </c>
      <c r="P11" s="10">
        <f t="shared" si="4"/>
        <v>612.99093465504177</v>
      </c>
      <c r="Q11" s="10">
        <f t="shared" si="5"/>
        <v>1103.383682379075</v>
      </c>
    </row>
    <row r="12" spans="2:17" x14ac:dyDescent="0.25">
      <c r="B12" s="26" t="str">
        <f t="shared" si="0"/>
        <v>Conservador|Híbridos</v>
      </c>
      <c r="C12" s="26" t="str">
        <f t="shared" si="1"/>
        <v>Conservador</v>
      </c>
      <c r="D12" s="26" t="str">
        <f>$K$12</f>
        <v>Híbridos</v>
      </c>
      <c r="E12" s="27">
        <v>0.05</v>
      </c>
      <c r="K12" s="28" t="s">
        <v>66</v>
      </c>
      <c r="M12" s="30">
        <f t="shared" si="6"/>
        <v>6</v>
      </c>
      <c r="N12" s="10">
        <f t="shared" si="2"/>
        <v>96854.542251789433</v>
      </c>
      <c r="O12" s="10">
        <f t="shared" si="3"/>
        <v>174338.17605322099</v>
      </c>
      <c r="P12" s="10">
        <f t="shared" si="4"/>
        <v>774.83633801431552</v>
      </c>
      <c r="Q12" s="10">
        <f t="shared" si="5"/>
        <v>1394.7054084257679</v>
      </c>
    </row>
    <row r="13" spans="2:17" x14ac:dyDescent="0.25">
      <c r="B13" s="26" t="str">
        <f t="shared" si="0"/>
        <v>Moderado|Papel (CRI)</v>
      </c>
      <c r="C13" s="26" t="str">
        <f t="shared" ref="C13:C18" si="7">$G$8</f>
        <v>Moderado</v>
      </c>
      <c r="D13" s="26" t="str">
        <f>$K$7</f>
        <v>Papel (CRI)</v>
      </c>
      <c r="E13" s="27">
        <v>0.25</v>
      </c>
      <c r="M13" s="30">
        <f t="shared" si="6"/>
        <v>7</v>
      </c>
      <c r="N13" s="10">
        <f t="shared" si="2"/>
        <v>119115.13721632768</v>
      </c>
      <c r="O13" s="10">
        <f t="shared" si="3"/>
        <v>214407.24698938982</v>
      </c>
      <c r="P13" s="10">
        <f t="shared" si="4"/>
        <v>952.92109773062145</v>
      </c>
      <c r="Q13" s="10">
        <f t="shared" si="5"/>
        <v>1715.2579759151185</v>
      </c>
    </row>
    <row r="14" spans="2:17" x14ac:dyDescent="0.25">
      <c r="B14" s="26" t="str">
        <f t="shared" si="0"/>
        <v>Moderado|Logística</v>
      </c>
      <c r="C14" s="26" t="str">
        <f t="shared" si="7"/>
        <v>Moderado</v>
      </c>
      <c r="D14" s="26" t="str">
        <f>$K$8</f>
        <v>Logística</v>
      </c>
      <c r="E14" s="27">
        <v>0.2</v>
      </c>
      <c r="M14" s="30">
        <f t="shared" si="6"/>
        <v>8</v>
      </c>
      <c r="N14" s="10">
        <f t="shared" si="2"/>
        <v>143609.33120095197</v>
      </c>
      <c r="O14" s="10">
        <f t="shared" si="3"/>
        <v>258496.79616171354</v>
      </c>
      <c r="P14" s="10">
        <f t="shared" si="4"/>
        <v>1148.8746496076158</v>
      </c>
      <c r="Q14" s="10">
        <f t="shared" si="5"/>
        <v>2067.9743692937086</v>
      </c>
    </row>
    <row r="15" spans="2:17" x14ac:dyDescent="0.25">
      <c r="B15" s="26" t="str">
        <f t="shared" si="0"/>
        <v>Moderado|Lajes Corporativas</v>
      </c>
      <c r="C15" s="26" t="str">
        <f t="shared" si="7"/>
        <v>Moderado</v>
      </c>
      <c r="D15" s="26" t="str">
        <f>$K$9</f>
        <v>Lajes Corporativas</v>
      </c>
      <c r="E15" s="27">
        <v>0.15</v>
      </c>
      <c r="M15" s="30">
        <f t="shared" si="6"/>
        <v>9</v>
      </c>
      <c r="N15" s="10">
        <f t="shared" si="2"/>
        <v>170561.24061362338</v>
      </c>
      <c r="O15" s="10">
        <f t="shared" si="3"/>
        <v>307010.23310452205</v>
      </c>
      <c r="P15" s="10">
        <f t="shared" si="4"/>
        <v>1364.4899249089869</v>
      </c>
      <c r="Q15" s="10">
        <f t="shared" si="5"/>
        <v>2456.0818648361765</v>
      </c>
    </row>
    <row r="16" spans="2:17" x14ac:dyDescent="0.25">
      <c r="B16" s="26" t="str">
        <f t="shared" si="0"/>
        <v>Moderado|Shoppings</v>
      </c>
      <c r="C16" s="26" t="str">
        <f t="shared" si="7"/>
        <v>Moderado</v>
      </c>
      <c r="D16" s="26" t="str">
        <f>$K$10</f>
        <v>Shoppings</v>
      </c>
      <c r="E16" s="27">
        <v>0.15</v>
      </c>
      <c r="M16" s="30">
        <f t="shared" si="6"/>
        <v>10</v>
      </c>
      <c r="N16" s="10">
        <f t="shared" si="2"/>
        <v>200217.46940991812</v>
      </c>
      <c r="O16" s="10">
        <f t="shared" si="3"/>
        <v>360391.44493785262</v>
      </c>
      <c r="P16" s="10">
        <f t="shared" si="4"/>
        <v>1601.739755279345</v>
      </c>
      <c r="Q16" s="10">
        <f t="shared" si="5"/>
        <v>2883.1315595028209</v>
      </c>
    </row>
    <row r="17" spans="2:17" x14ac:dyDescent="0.25">
      <c r="B17" s="26" t="str">
        <f t="shared" si="0"/>
        <v>Moderado|Fundo de Fundos (FoF)</v>
      </c>
      <c r="C17" s="26" t="str">
        <f t="shared" si="7"/>
        <v>Moderado</v>
      </c>
      <c r="D17" s="26" t="str">
        <f>$K$11</f>
        <v>Fundo de Fundos (FoF)</v>
      </c>
      <c r="E17" s="27">
        <v>0.15</v>
      </c>
      <c r="M17" s="30">
        <f t="shared" si="6"/>
        <v>11</v>
      </c>
      <c r="N17" s="10">
        <f t="shared" si="2"/>
        <v>232849.36546418027</v>
      </c>
      <c r="O17" s="10">
        <f t="shared" si="3"/>
        <v>419128.85783552448</v>
      </c>
      <c r="P17" s="10">
        <f t="shared" si="4"/>
        <v>1862.7949237134421</v>
      </c>
      <c r="Q17" s="10">
        <f t="shared" si="5"/>
        <v>3353.0308626841961</v>
      </c>
    </row>
    <row r="18" spans="2:17" x14ac:dyDescent="0.25">
      <c r="B18" s="26" t="str">
        <f t="shared" si="0"/>
        <v>Moderado|Híbridos</v>
      </c>
      <c r="C18" s="26" t="str">
        <f t="shared" si="7"/>
        <v>Moderado</v>
      </c>
      <c r="D18" s="26" t="str">
        <f>$K$12</f>
        <v>Híbridos</v>
      </c>
      <c r="E18" s="27">
        <v>0.1</v>
      </c>
      <c r="M18" s="30">
        <f t="shared" si="6"/>
        <v>12</v>
      </c>
      <c r="N18" s="10">
        <f t="shared" si="2"/>
        <v>268755.5033420081</v>
      </c>
      <c r="O18" s="10">
        <f t="shared" si="3"/>
        <v>483759.90601561463</v>
      </c>
      <c r="P18" s="10">
        <f t="shared" si="4"/>
        <v>2150.044026736065</v>
      </c>
      <c r="Q18" s="10">
        <f t="shared" si="5"/>
        <v>3870.0792481249173</v>
      </c>
    </row>
    <row r="19" spans="2:17" x14ac:dyDescent="0.25">
      <c r="B19" s="26" t="str">
        <f t="shared" si="0"/>
        <v>Arrojado|Papel (CRI)</v>
      </c>
      <c r="C19" s="26" t="str">
        <f t="shared" ref="C19:C24" si="8">$G$9</f>
        <v>Arrojado</v>
      </c>
      <c r="D19" s="26" t="str">
        <f>$K$7</f>
        <v>Papel (CRI)</v>
      </c>
      <c r="E19" s="27">
        <v>0.15</v>
      </c>
      <c r="M19" s="30">
        <f t="shared" si="6"/>
        <v>13</v>
      </c>
      <c r="N19" s="10">
        <f t="shared" si="2"/>
        <v>308264.4161908892</v>
      </c>
      <c r="O19" s="10">
        <f t="shared" si="3"/>
        <v>554875.94914360065</v>
      </c>
      <c r="P19" s="10">
        <f t="shared" si="4"/>
        <v>2466.1153295271138</v>
      </c>
      <c r="Q19" s="10">
        <f t="shared" si="5"/>
        <v>4439.0075931488054</v>
      </c>
    </row>
    <row r="20" spans="2:17" x14ac:dyDescent="0.25">
      <c r="B20" s="26" t="str">
        <f t="shared" si="0"/>
        <v>Arrojado|Logística</v>
      </c>
      <c r="C20" s="26" t="str">
        <f t="shared" si="8"/>
        <v>Arrojado</v>
      </c>
      <c r="D20" s="26" t="str">
        <f>$K$8</f>
        <v>Logística</v>
      </c>
      <c r="E20" s="27">
        <v>0.2</v>
      </c>
      <c r="M20" s="30">
        <f t="shared" si="6"/>
        <v>14</v>
      </c>
      <c r="N20" s="10">
        <f t="shared" si="2"/>
        <v>351737.60174517194</v>
      </c>
      <c r="O20" s="10">
        <f t="shared" si="3"/>
        <v>633127.68314130954</v>
      </c>
      <c r="P20" s="10">
        <f t="shared" si="4"/>
        <v>2813.9008139613757</v>
      </c>
      <c r="Q20" s="10">
        <f t="shared" si="5"/>
        <v>5065.0214651304768</v>
      </c>
    </row>
    <row r="21" spans="2:17" x14ac:dyDescent="0.25">
      <c r="B21" s="26" t="str">
        <f t="shared" si="0"/>
        <v>Arrojado|Lajes Corporativas</v>
      </c>
      <c r="C21" s="26" t="str">
        <f t="shared" si="8"/>
        <v>Arrojado</v>
      </c>
      <c r="D21" s="26" t="str">
        <f>$K$9</f>
        <v>Lajes Corporativas</v>
      </c>
      <c r="E21" s="27">
        <v>0.2</v>
      </c>
      <c r="M21" s="30">
        <f t="shared" si="6"/>
        <v>15</v>
      </c>
      <c r="N21" s="10">
        <f t="shared" si="2"/>
        <v>399572.82994965115</v>
      </c>
      <c r="O21" s="10">
        <f t="shared" si="3"/>
        <v>719231.09390937199</v>
      </c>
      <c r="P21" s="10">
        <f t="shared" si="4"/>
        <v>3196.5826395972094</v>
      </c>
      <c r="Q21" s="10">
        <f t="shared" si="5"/>
        <v>5753.8487512749762</v>
      </c>
    </row>
    <row r="22" spans="2:17" x14ac:dyDescent="0.25">
      <c r="B22" s="26" t="str">
        <f t="shared" si="0"/>
        <v>Arrojado|Shoppings</v>
      </c>
      <c r="C22" s="26" t="str">
        <f t="shared" si="8"/>
        <v>Arrojado</v>
      </c>
      <c r="D22" s="26" t="str">
        <f>$K$10</f>
        <v>Shoppings</v>
      </c>
      <c r="E22" s="27">
        <v>0.2</v>
      </c>
      <c r="M22" s="30">
        <f t="shared" si="6"/>
        <v>16</v>
      </c>
      <c r="N22" s="10">
        <f t="shared" si="2"/>
        <v>452207.78246578173</v>
      </c>
      <c r="O22" s="10">
        <f t="shared" si="3"/>
        <v>813974.00843840709</v>
      </c>
      <c r="P22" s="10">
        <f t="shared" si="4"/>
        <v>3617.662259726254</v>
      </c>
      <c r="Q22" s="10">
        <f t="shared" si="5"/>
        <v>6511.7920675072573</v>
      </c>
    </row>
    <row r="23" spans="2:17" x14ac:dyDescent="0.25">
      <c r="B23" s="26" t="str">
        <f t="shared" si="0"/>
        <v>Arrojado|Fundo de Fundos (FoF)</v>
      </c>
      <c r="C23" s="26" t="str">
        <f t="shared" si="8"/>
        <v>Arrojado</v>
      </c>
      <c r="D23" s="26" t="str">
        <f>$K$11</f>
        <v>Fundo de Fundos (FoF)</v>
      </c>
      <c r="E23" s="27">
        <v>0.05</v>
      </c>
      <c r="M23" s="30">
        <f t="shared" si="6"/>
        <v>17</v>
      </c>
      <c r="N23" s="10">
        <f t="shared" si="2"/>
        <v>510124.05736119224</v>
      </c>
      <c r="O23" s="10">
        <f t="shared" si="3"/>
        <v>918223.30325014598</v>
      </c>
      <c r="P23" s="10">
        <f t="shared" si="4"/>
        <v>4080.9924588895378</v>
      </c>
      <c r="Q23" s="10">
        <f t="shared" si="5"/>
        <v>7345.7864260011684</v>
      </c>
    </row>
    <row r="24" spans="2:17" x14ac:dyDescent="0.25">
      <c r="B24" s="26" t="str">
        <f t="shared" si="0"/>
        <v>Arrojado|Híbridos</v>
      </c>
      <c r="C24" s="26" t="str">
        <f t="shared" si="8"/>
        <v>Arrojado</v>
      </c>
      <c r="D24" s="26" t="str">
        <f>$K$12</f>
        <v>Híbridos</v>
      </c>
      <c r="E24" s="27">
        <v>0.2</v>
      </c>
      <c r="M24" s="30">
        <f t="shared" si="6"/>
        <v>18</v>
      </c>
      <c r="N24" s="10">
        <f t="shared" si="2"/>
        <v>573851.57562451332</v>
      </c>
      <c r="O24" s="10">
        <f t="shared" si="3"/>
        <v>1032932.836124124</v>
      </c>
      <c r="P24" s="10">
        <f t="shared" si="4"/>
        <v>4590.8126049961065</v>
      </c>
      <c r="Q24" s="10">
        <f t="shared" si="5"/>
        <v>8263.4626889929914</v>
      </c>
    </row>
    <row r="25" spans="2:17" x14ac:dyDescent="0.25">
      <c r="M25" s="30">
        <f t="shared" si="6"/>
        <v>19</v>
      </c>
      <c r="N25" s="10">
        <f t="shared" si="2"/>
        <v>643973.42982414796</v>
      </c>
      <c r="O25" s="10">
        <f t="shared" si="3"/>
        <v>1159152.1736834664</v>
      </c>
      <c r="P25" s="10">
        <f t="shared" si="4"/>
        <v>5151.7874385931837</v>
      </c>
      <c r="Q25" s="10">
        <f t="shared" si="5"/>
        <v>9273.2173894677308</v>
      </c>
    </row>
    <row r="26" spans="2:17" x14ac:dyDescent="0.25">
      <c r="B26" s="21"/>
      <c r="M26" s="30">
        <f t="shared" si="6"/>
        <v>20</v>
      </c>
      <c r="N26" s="10">
        <f t="shared" si="2"/>
        <v>721131.21927512833</v>
      </c>
      <c r="O26" s="10">
        <f t="shared" si="3"/>
        <v>1298036.194695231</v>
      </c>
      <c r="P26" s="10">
        <f t="shared" si="4"/>
        <v>5769.0497542010271</v>
      </c>
      <c r="Q26" s="10">
        <f t="shared" si="5"/>
        <v>10384.289557561848</v>
      </c>
    </row>
    <row r="27" spans="2:17" x14ac:dyDescent="0.25">
      <c r="B27" s="21"/>
      <c r="M27" s="30">
        <f t="shared" si="6"/>
        <v>21</v>
      </c>
      <c r="N27" s="10">
        <f t="shared" si="2"/>
        <v>806030.92052964529</v>
      </c>
      <c r="O27" s="10">
        <f t="shared" si="3"/>
        <v>1450855.6569533616</v>
      </c>
      <c r="P27" s="10">
        <f t="shared" si="4"/>
        <v>6448.2473642371624</v>
      </c>
      <c r="Q27" s="10">
        <f t="shared" si="5"/>
        <v>11606.845255626893</v>
      </c>
    </row>
    <row r="28" spans="2:17" x14ac:dyDescent="0.25">
      <c r="M28" s="30">
        <f t="shared" si="6"/>
        <v>22</v>
      </c>
      <c r="N28" s="10">
        <f t="shared" si="2"/>
        <v>899449.34690493159</v>
      </c>
      <c r="O28" s="10">
        <f t="shared" si="3"/>
        <v>1619008.8244288769</v>
      </c>
      <c r="P28" s="10">
        <f t="shared" si="4"/>
        <v>7195.5947752394532</v>
      </c>
      <c r="Q28" s="10">
        <f t="shared" si="5"/>
        <v>12952.070595431016</v>
      </c>
    </row>
    <row r="29" spans="2:17" x14ac:dyDescent="0.25">
      <c r="M29" s="30">
        <f t="shared" si="6"/>
        <v>23</v>
      </c>
      <c r="N29" s="10">
        <f t="shared" si="2"/>
        <v>1002241.2561517322</v>
      </c>
      <c r="O29" s="10">
        <f t="shared" si="3"/>
        <v>1804034.2610731178</v>
      </c>
      <c r="P29" s="10">
        <f t="shared" si="4"/>
        <v>8017.9300492138573</v>
      </c>
      <c r="Q29" s="10">
        <f t="shared" si="5"/>
        <v>14432.274088584943</v>
      </c>
    </row>
    <row r="30" spans="2:17" x14ac:dyDescent="0.25">
      <c r="M30" s="30">
        <f t="shared" si="6"/>
        <v>24</v>
      </c>
      <c r="N30" s="10">
        <f t="shared" si="2"/>
        <v>1115347.1712969455</v>
      </c>
      <c r="O30" s="10">
        <f t="shared" si="3"/>
        <v>2007624.908334502</v>
      </c>
      <c r="P30" s="10">
        <f t="shared" si="4"/>
        <v>8922.7773703755647</v>
      </c>
      <c r="Q30" s="10">
        <f t="shared" si="5"/>
        <v>16060.999266676017</v>
      </c>
    </row>
    <row r="31" spans="2:17" x14ac:dyDescent="0.25">
      <c r="M31" s="30">
        <f t="shared" si="6"/>
        <v>25</v>
      </c>
      <c r="N31" s="10">
        <f t="shared" si="2"/>
        <v>1239801.9862193991</v>
      </c>
      <c r="O31" s="10">
        <f t="shared" si="3"/>
        <v>2231643.5751949186</v>
      </c>
      <c r="P31" s="10">
        <f t="shared" si="4"/>
        <v>9918.4158897551933</v>
      </c>
      <c r="Q31" s="10">
        <f t="shared" si="5"/>
        <v>17853.148601559347</v>
      </c>
    </row>
    <row r="32" spans="2:17" x14ac:dyDescent="0.25">
      <c r="M32" s="30">
        <f t="shared" si="6"/>
        <v>26</v>
      </c>
      <c r="N32" s="10">
        <f t="shared" si="2"/>
        <v>1376744.4346978562</v>
      </c>
      <c r="O32" s="10">
        <f t="shared" si="3"/>
        <v>2478139.9824561412</v>
      </c>
      <c r="P32" s="10">
        <f t="shared" si="4"/>
        <v>11013.955477582849</v>
      </c>
      <c r="Q32" s="10">
        <f t="shared" si="5"/>
        <v>19825.11985964913</v>
      </c>
    </row>
    <row r="33" spans="13:17" x14ac:dyDescent="0.25">
      <c r="M33" s="30">
        <f t="shared" si="6"/>
        <v>27</v>
      </c>
      <c r="N33" s="10">
        <f t="shared" si="2"/>
        <v>1527427.5095709329</v>
      </c>
      <c r="O33" s="10">
        <f t="shared" si="3"/>
        <v>2749369.517227679</v>
      </c>
      <c r="P33" s="10">
        <f t="shared" si="4"/>
        <v>12219.420076567463</v>
      </c>
      <c r="Q33" s="10">
        <f t="shared" si="5"/>
        <v>21994.956137821431</v>
      </c>
    </row>
    <row r="34" spans="13:17" x14ac:dyDescent="0.25">
      <c r="M34" s="30">
        <f t="shared" si="6"/>
        <v>28</v>
      </c>
      <c r="N34" s="10">
        <f t="shared" si="2"/>
        <v>1693229.9273419057</v>
      </c>
      <c r="O34" s="10">
        <f t="shared" si="3"/>
        <v>3047813.8692154302</v>
      </c>
      <c r="P34" s="10">
        <f t="shared" si="4"/>
        <v>13545.839418735246</v>
      </c>
      <c r="Q34" s="10">
        <f t="shared" si="5"/>
        <v>24382.510953723442</v>
      </c>
    </row>
    <row r="35" spans="13:17" x14ac:dyDescent="0.25">
      <c r="M35" s="30">
        <f t="shared" si="6"/>
        <v>29</v>
      </c>
      <c r="N35" s="10">
        <f t="shared" si="2"/>
        <v>1875668.7431269977</v>
      </c>
      <c r="O35" s="10">
        <f t="shared" si="3"/>
        <v>3376203.7376285959</v>
      </c>
      <c r="P35" s="10">
        <f t="shared" si="4"/>
        <v>15005.349945015982</v>
      </c>
      <c r="Q35" s="10">
        <f t="shared" si="5"/>
        <v>27009.629901028769</v>
      </c>
    </row>
    <row r="36" spans="13:17" x14ac:dyDescent="0.25">
      <c r="M36" s="30">
        <f t="shared" si="6"/>
        <v>30</v>
      </c>
      <c r="N36" s="10">
        <f t="shared" si="2"/>
        <v>2076413.2313710852</v>
      </c>
      <c r="O36" s="10">
        <f t="shared" si="3"/>
        <v>3737543.8164679534</v>
      </c>
      <c r="P36" s="10">
        <f t="shared" si="4"/>
        <v>16611.305850968682</v>
      </c>
      <c r="Q36" s="10">
        <f t="shared" si="5"/>
        <v>29900.350531743628</v>
      </c>
    </row>
  </sheetData>
  <mergeCells count="5">
    <mergeCell ref="B1:Q2"/>
    <mergeCell ref="B3:Q3"/>
    <mergeCell ref="B5:E5"/>
    <mergeCell ref="G5:I5"/>
    <mergeCell ref="M5:Q5"/>
  </mergeCells>
  <conditionalFormatting sqref="I7:I9">
    <cfRule type="expression" dxfId="0" priority="2">
      <formula>I7&lt;&gt;"OK"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17</vt:i4>
      </vt:variant>
    </vt:vector>
  </HeadingPairs>
  <TitlesOfParts>
    <vt:vector size="20" baseType="lpstr">
      <vt:lpstr>Simulador</vt:lpstr>
      <vt:lpstr>Configurações</vt:lpstr>
      <vt:lpstr>Apoio</vt:lpstr>
      <vt:lpstr>aporte</vt:lpstr>
      <vt:lpstr>dividendos</vt:lpstr>
      <vt:lpstr>dividendos_sugestao</vt:lpstr>
      <vt:lpstr>lista_perfis</vt:lpstr>
      <vt:lpstr>lista_tipos</vt:lpstr>
      <vt:lpstr>meta_renda</vt:lpstr>
      <vt:lpstr>patrimonio</vt:lpstr>
      <vt:lpstr>patrimonio_meta</vt:lpstr>
      <vt:lpstr>patrimonio_sugestao</vt:lpstr>
      <vt:lpstr>pct_aporte</vt:lpstr>
      <vt:lpstr>perfil</vt:lpstr>
      <vt:lpstr>prazo_anos</vt:lpstr>
      <vt:lpstr>salario</vt:lpstr>
      <vt:lpstr>sugestao_aporte</vt:lpstr>
      <vt:lpstr>tabela_evolucao</vt:lpstr>
      <vt:lpstr>tabela_perfis</vt:lpstr>
      <vt:lpstr>taxa_mensal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SK31</cp:lastModifiedBy>
  <cp:revision>1</cp:revision>
  <dcterms:created xsi:type="dcterms:W3CDTF">2026-10-12T23:26:49Z</dcterms:created>
  <dcterms:modified xsi:type="dcterms:W3CDTF">2026-10-18T20:03:11Z</dcterms:modified>
  <dc:language>en-US</dc:language>
</cp:coreProperties>
</file>